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394"/>
  </bookViews>
  <sheets>
    <sheet name="rev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K5" i="1" s="1"/>
  <c r="L5" i="1" s="1"/>
  <c r="J4" i="1" l="1"/>
  <c r="K4" i="1" s="1"/>
  <c r="L4" i="1" s="1"/>
  <c r="J3" i="1"/>
  <c r="K3" i="1" s="1"/>
  <c r="L3" i="1" s="1"/>
  <c r="J2" i="1" l="1"/>
  <c r="K2" i="1" s="1"/>
  <c r="L2" i="1" s="1"/>
</calcChain>
</file>

<file path=xl/sharedStrings.xml><?xml version="1.0" encoding="utf-8"?>
<sst xmlns="http://schemas.openxmlformats.org/spreadsheetml/2006/main" count="23" uniqueCount="22">
  <si>
    <t>出块时间</t>
    <phoneticPr fontId="1" type="noConversion"/>
  </si>
  <si>
    <t>币/天</t>
    <phoneticPr fontId="1" type="noConversion"/>
  </si>
  <si>
    <t>区块奖励</t>
    <phoneticPr fontId="1" type="noConversion"/>
  </si>
  <si>
    <t>货币名称</t>
    <phoneticPr fontId="1" type="noConversion"/>
  </si>
  <si>
    <t>算法</t>
    <phoneticPr fontId="1" type="noConversion"/>
  </si>
  <si>
    <t>Rwahashv2</t>
    <phoneticPr fontId="1" type="noConversion"/>
  </si>
  <si>
    <t>全网算力MH/s</t>
    <phoneticPr fontId="1" type="noConversion"/>
  </si>
  <si>
    <t>我的算力MH/s</t>
    <phoneticPr fontId="1" type="noConversion"/>
  </si>
  <si>
    <t>GhostRider</t>
  </si>
  <si>
    <t>GM</t>
    <phoneticPr fontId="1" type="noConversion"/>
  </si>
  <si>
    <t>DNX</t>
    <phoneticPr fontId="1" type="noConversion"/>
  </si>
  <si>
    <t>挖矿设备</t>
    <phoneticPr fontId="1" type="noConversion"/>
  </si>
  <si>
    <t>GPU</t>
    <phoneticPr fontId="1" type="noConversion"/>
  </si>
  <si>
    <t>GPU</t>
    <phoneticPr fontId="1" type="noConversion"/>
  </si>
  <si>
    <t>价格（USDT）</t>
    <phoneticPr fontId="1" type="noConversion"/>
  </si>
  <si>
    <t>收益（USDT）/天</t>
    <phoneticPr fontId="1" type="noConversion"/>
  </si>
  <si>
    <t>RMB/天</t>
    <phoneticPr fontId="1" type="noConversion"/>
  </si>
  <si>
    <t>DynexSolve</t>
    <phoneticPr fontId="1" type="noConversion"/>
  </si>
  <si>
    <t>MAXE</t>
    <phoneticPr fontId="1" type="noConversion"/>
  </si>
  <si>
    <t>CPU</t>
    <phoneticPr fontId="1" type="noConversion"/>
  </si>
  <si>
    <t>ZEPH</t>
    <phoneticPr fontId="1" type="noConversion"/>
  </si>
  <si>
    <t>RandomX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</si>
</sst>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6"/>
      <color theme="1"/>
      <name val="等线"/>
      <family val="2"/>
      <scheme val="minor"/>
    </font>
    <font>
      <sz val="16"/>
      <color rgb="FF333333"/>
      <name val="Arial"/>
      <family val="2"/>
    </font>
    <font>
      <sz val="16"/>
      <color theme="1"/>
      <name val="等线"/>
      <family val="3"/>
      <charset val="134"/>
      <scheme val="minor"/>
    </font>
    <font>
      <sz val="16"/>
      <color theme="1"/>
      <name val="Arial"/>
      <family val="2"/>
    </font>
    <font>
      <sz val="16"/>
      <color theme="1"/>
      <name val="黑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76" fontId="4" fillId="0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76" fontId="5" fillId="0" borderId="1" xfId="0" applyNumberFormat="1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176" fontId="6" fillId="0" borderId="1" xfId="0" applyNumberFormat="1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828675</xdr:colOff>
      <xdr:row>1</xdr:row>
      <xdr:rowOff>828675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7250"/>
          <a:ext cx="828675" cy="828675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276225</xdr:rowOff>
    </xdr:from>
    <xdr:to>
      <xdr:col>0</xdr:col>
      <xdr:colOff>866775</xdr:colOff>
      <xdr:row>0</xdr:row>
      <xdr:rowOff>704850</xdr:rowOff>
    </xdr:to>
    <xdr:sp macro="[0]!refresh" textlink="">
      <xdr:nvSpPr>
        <xdr:cNvPr id="3" name="圆角矩形 2"/>
        <xdr:cNvSpPr/>
      </xdr:nvSpPr>
      <xdr:spPr>
        <a:xfrm>
          <a:off x="47625" y="276225"/>
          <a:ext cx="819150" cy="4286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/>
              </a:solidFill>
            </a:rPr>
            <a:t>更新数据</a:t>
          </a:r>
        </a:p>
      </xdr:txBody>
    </xdr:sp>
    <xdr:clientData/>
  </xdr:twoCellAnchor>
  <xdr:twoCellAnchor editAs="oneCell">
    <xdr:from>
      <xdr:col>0</xdr:col>
      <xdr:colOff>0</xdr:colOff>
      <xdr:row>1</xdr:row>
      <xdr:rowOff>857249</xdr:rowOff>
    </xdr:from>
    <xdr:to>
      <xdr:col>0</xdr:col>
      <xdr:colOff>809625</xdr:colOff>
      <xdr:row>2</xdr:row>
      <xdr:rowOff>852236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499"/>
          <a:ext cx="809625" cy="85223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828675</xdr:colOff>
      <xdr:row>3</xdr:row>
      <xdr:rowOff>828675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71750"/>
          <a:ext cx="828675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19050</xdr:rowOff>
    </xdr:from>
    <xdr:to>
      <xdr:col>0</xdr:col>
      <xdr:colOff>819150</xdr:colOff>
      <xdr:row>4</xdr:row>
      <xdr:rowOff>838200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48050"/>
          <a:ext cx="819150" cy="819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6"/>
  <sheetViews>
    <sheetView tabSelected="1" workbookViewId="0">
      <selection activeCell="J2" sqref="J2"/>
    </sheetView>
  </sheetViews>
  <sheetFormatPr defaultRowHeight="67.5" customHeight="1" x14ac:dyDescent="0.3"/>
  <cols>
    <col min="1" max="1" width="12.25" style="1" customWidth="1"/>
    <col min="2" max="3" width="13.875" style="1" customWidth="1"/>
    <col min="4" max="4" width="16.25" style="1" customWidth="1"/>
    <col min="5" max="6" width="13.875" style="1" customWidth="1"/>
    <col min="7" max="7" width="17.125" style="1" customWidth="1"/>
    <col min="8" max="8" width="17.625" style="1" customWidth="1"/>
    <col min="9" max="9" width="18.875" style="1" customWidth="1"/>
    <col min="10" max="10" width="17.875" style="1" customWidth="1"/>
    <col min="11" max="11" width="25.125" style="2" customWidth="1"/>
    <col min="12" max="12" width="18" style="2" customWidth="1"/>
    <col min="13" max="13" width="18.125" style="1" customWidth="1"/>
    <col min="14" max="16384" width="9" style="1"/>
  </cols>
  <sheetData>
    <row r="1" spans="2:12" ht="67.5" customHeight="1" x14ac:dyDescent="0.3">
      <c r="B1" s="8" t="s">
        <v>3</v>
      </c>
      <c r="C1" s="8" t="s">
        <v>11</v>
      </c>
      <c r="D1" s="8" t="s">
        <v>4</v>
      </c>
      <c r="E1" s="8" t="s">
        <v>0</v>
      </c>
      <c r="F1" s="8" t="s">
        <v>2</v>
      </c>
      <c r="G1" s="8" t="s">
        <v>6</v>
      </c>
      <c r="H1" s="8" t="s">
        <v>7</v>
      </c>
      <c r="I1" s="8" t="s">
        <v>14</v>
      </c>
      <c r="J1" s="8" t="s">
        <v>1</v>
      </c>
      <c r="K1" s="9" t="s">
        <v>15</v>
      </c>
      <c r="L1" s="9" t="s">
        <v>16</v>
      </c>
    </row>
    <row r="2" spans="2:12" ht="67.5" customHeight="1" x14ac:dyDescent="0.3">
      <c r="B2" s="5" t="s">
        <v>9</v>
      </c>
      <c r="C2" s="5" t="s">
        <v>12</v>
      </c>
      <c r="D2" s="5" t="s">
        <v>5</v>
      </c>
      <c r="E2" s="5">
        <v>60</v>
      </c>
      <c r="F2" s="5">
        <v>2100</v>
      </c>
      <c r="G2" s="5">
        <v>27217</v>
      </c>
      <c r="H2" s="5">
        <v>21</v>
      </c>
      <c r="I2" s="5">
        <v>5.4443000000000004E-4</v>
      </c>
      <c r="J2" s="5">
        <f>86400/E2*F2*H2/G2</f>
        <v>2333.2476026013155</v>
      </c>
      <c r="K2" s="6">
        <f>J2*I2</f>
        <v>1.2702899922842343</v>
      </c>
      <c r="L2" s="6">
        <f>K2*7.3</f>
        <v>9.2731169436749106</v>
      </c>
    </row>
    <row r="3" spans="2:12" ht="67.5" customHeight="1" x14ac:dyDescent="0.3">
      <c r="B3" s="7" t="s">
        <v>10</v>
      </c>
      <c r="C3" s="7" t="s">
        <v>13</v>
      </c>
      <c r="D3" s="3" t="s">
        <v>17</v>
      </c>
      <c r="E3" s="7">
        <v>120</v>
      </c>
      <c r="F3" s="7">
        <v>133</v>
      </c>
      <c r="G3" s="7">
        <v>2025</v>
      </c>
      <c r="H3" s="7">
        <v>0.01</v>
      </c>
      <c r="I3" s="7">
        <v>0.85060000000000002</v>
      </c>
      <c r="J3" s="5">
        <f>86400/E3*F3*H3/G3</f>
        <v>0.47288888888888891</v>
      </c>
      <c r="K3" s="6">
        <f>J3*I3</f>
        <v>0.40223928888888894</v>
      </c>
      <c r="L3" s="6">
        <f>K3*7.3</f>
        <v>2.9363468088888891</v>
      </c>
    </row>
    <row r="4" spans="2:12" ht="67.5" customHeight="1" x14ac:dyDescent="0.3">
      <c r="B4" s="7" t="s">
        <v>18</v>
      </c>
      <c r="C4" s="7" t="s">
        <v>19</v>
      </c>
      <c r="D4" s="3" t="s">
        <v>8</v>
      </c>
      <c r="E4" s="7">
        <v>180</v>
      </c>
      <c r="F4" s="7">
        <v>1620</v>
      </c>
      <c r="G4" s="7">
        <v>6.36</v>
      </c>
      <c r="H4" s="7">
        <v>0.01</v>
      </c>
      <c r="I4" s="7">
        <v>1.7124E-3</v>
      </c>
      <c r="J4" s="5">
        <f>86400/E4*F4*H4/G4</f>
        <v>1222.6415094339623</v>
      </c>
      <c r="K4" s="6">
        <f>J4*I4</f>
        <v>2.0936513207547169</v>
      </c>
      <c r="L4" s="6">
        <f>K4*7.3</f>
        <v>15.283654641509433</v>
      </c>
    </row>
    <row r="5" spans="2:12" ht="67.5" customHeight="1" x14ac:dyDescent="0.3">
      <c r="B5" s="5" t="s">
        <v>20</v>
      </c>
      <c r="C5" s="5" t="s">
        <v>19</v>
      </c>
      <c r="D5" s="3" t="s">
        <v>21</v>
      </c>
      <c r="E5" s="5">
        <v>120</v>
      </c>
      <c r="F5" s="5">
        <v>12</v>
      </c>
      <c r="G5" s="5">
        <v>1023.17</v>
      </c>
      <c r="H5" s="5">
        <v>3.6999999999999998E-2</v>
      </c>
      <c r="I5" s="5">
        <v>4.6436979999999997</v>
      </c>
      <c r="J5" s="5">
        <f>86400/E5*F5*H5/G5</f>
        <v>0.3124407478718102</v>
      </c>
      <c r="K5" s="6">
        <f>J5*I5</f>
        <v>1.4508804760108291</v>
      </c>
      <c r="L5" s="6">
        <f>K5*7.3</f>
        <v>10.591427474879053</v>
      </c>
    </row>
    <row r="6" spans="2:12" ht="67.5" customHeight="1" x14ac:dyDescent="0.3">
      <c r="K6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2023-11-01T12:24:33Z</dcterms:modified>
</cp:coreProperties>
</file>